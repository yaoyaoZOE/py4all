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5ca3d209558e483d"/><Relationship Type="http://schemas.openxmlformats.org/package/2006/relationships/metadata/core-properties" Target="/package/services/metadata/core-properties/157cfc4d67084b0ba474a9a5867cd4bf.psmdcp" Id="R5ea7355be1834717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a77c91d32234e04"/>
    <x:sheet xmlns:r="http://schemas.openxmlformats.org/officeDocument/2006/relationships" name="Plan" sheetId="2" r:id="R6e96e9139c6a4332"/>
    <x:sheet xmlns:r="http://schemas.openxmlformats.org/officeDocument/2006/relationships" name="Weekly Checklist" sheetId="3" r:id="R2d50476fa25a4fdd"/>
    <x:sheet xmlns:r="http://schemas.openxmlformats.org/officeDocument/2006/relationships" name="Resources" sheetId="4" r:id="Rf644e6d00d31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8"/>
      <x:color rgb="FFFFFF"/>
      <x:name val="Carlito"/>
    </x:font>
    <x:font>
      <x:i/>
      <x:sz val="11"/>
      <x:color rgb="17365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DEBF7"/>
      </x:patternFill>
    </x:fill>
    <x:fill>
      <x:patternFill patternType="solid">
        <x:fgColor rgb="4472C4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4F8FC"/>
        </x:patternFill>
      </x:fill>
    </x:dxf>
    <x:dxf>
      <x:font>
        <x:b/>
        <x:color rgb="375623"/>
      </x:font>
      <x:fill>
        <x:patternFill patternType="solid">
          <x:bgColor rgb="E2F0D9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C00000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ced17ceb64e16" /><Relationship Type="http://schemas.openxmlformats.org/officeDocument/2006/relationships/theme" Target="/xl/theme/theme1.xml" Id="R88e9c13d31794150" /><Relationship Type="http://schemas.openxmlformats.org/officeDocument/2006/relationships/sharedStrings" Target="/xl/sharedStrings.xml" Id="R4d887611eefa485d" /><Relationship Type="http://schemas.openxmlformats.org/officeDocument/2006/relationships/worksheet" Target="/xl/worksheets/sheet1.xml" Id="R6a77c91d32234e04" /><Relationship Type="http://schemas.openxmlformats.org/officeDocument/2006/relationships/worksheet" Target="/xl/worksheets/sheet2.xml" Id="R6e96e9139c6a4332" /><Relationship Type="http://schemas.openxmlformats.org/officeDocument/2006/relationships/worksheet" Target="/xl/worksheets/sheet3.xml" Id="R2d50476fa25a4fdd" /><Relationship Type="http://schemas.openxmlformats.org/officeDocument/2006/relationships/worksheet" Target="/xl/worksheets/sheet4.xml" Id="Rf644e6d00d31404e" /></Relationships>
</file>

<file path=xl/tables/table1.xml><?xml version="1.0" encoding="utf-8"?>
<x:table xmlns:x="http://schemas.openxmlformats.org/spreadsheetml/2006/main" id="1" name="DailyPlanTable" displayName="DailyPlanTable" ref="A1:J57" headerRowCount="1">
  <x:tableColumns count="10">
    <x:tableColumn id="1" name="Week"/>
    <x:tableColumn id="2" name="Day"/>
    <x:tableColumn id="3" name="Topic"/>
    <x:tableColumn id="4" name="Learning Tasks"/>
    <x:tableColumn id="5" name="Deliverable"/>
    <x:tableColumn id="6" name="Resource"/>
    <x:tableColumn id="7" name="Source URL"/>
    <x:tableColumn id="8" name="Hours"/>
    <x:tableColumn id="9" name="Statu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eeklyChecklistTable" displayName="WeeklyChecklistTable" ref="A1:F9" headerRowCount="1">
  <x:tableColumns count="6">
    <x:tableColumn id="1" name="Week"/>
    <x:tableColumn id="2" name="Weekly Goal"/>
    <x:tableColumn id="3" name="Weekly Deliverable"/>
    <x:tableColumn id="4" name="Review Checklist"/>
    <x:tableColumn id="5" name="Status"/>
    <x:tableColumn id="6" name="Review Notes"/>
  </x:tableColumns>
  <x:tableStyleInfo name="TableStyleMedium2" showRowStripes="1"/>
</x:table>
</file>

<file path=xl/tables/table3.xml><?xml version="1.0" encoding="utf-8"?>
<x:table xmlns:x="http://schemas.openxmlformats.org/spreadsheetml/2006/main" id="3" name="ResourcesTable" displayName="ResourcesTable" ref="A1:E14" headerRowCount="1">
  <x:tableColumns count="5">
    <x:tableColumn id="1" name="Category"/>
    <x:tableColumn id="2" name="Resource"/>
    <x:tableColumn id="3" name="Use in Plan"/>
    <x:tableColumn id="4" name="URL"/>
    <x:tableColumn id="5" name="Verificatio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c93b382a1c4b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6ce0cf017043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7deeb773bd48b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8" hidden="0" customWidth="1"/>
    <x:col min="5" max="5" width="15" hidden="0" customWidth="1"/>
    <x:col min="6" max="6" width="16" hidden="0" customWidth="1"/>
    <x:col min="7" max="7" width="12" hidden="0" customWidth="1"/>
    <x:col min="8" max="8" width="14" hidden="0" customWidth="1"/>
  </x:cols>
  <x:sheetData>
    <x:row r="1" ht="32" customHeight="1">
      <x:c r="A1" s="7" t="str">
        <x:v>AI Agent Engineer - 8-Week Learning Plan</x:v>
      </x:c>
      <x:c r="B1" s="7"/>
      <x:c r="C1" s="7"/>
      <x:c r="D1" s="7"/>
      <x:c r="E1" s="7"/>
      <x:c r="F1" s="7"/>
      <x:c r="G1" s="7"/>
      <x:c r="H1" s="7"/>
    </x:row>
    <x:row r="2" ht="24" customHeight="1">
      <x:c r="A2" s="30" t="str">
        <x:v>Profile: 6-year Java + Vue full-stack developer | Stack: Python + React | Final Project: Security Analyst Agent</x:v>
      </x:c>
      <x:c r="B2" s="30"/>
      <x:c r="C2" s="30"/>
      <x:c r="D2" s="30"/>
      <x:c r="E2" s="30"/>
      <x:c r="F2" s="30"/>
      <x:c r="G2" s="30"/>
      <x:c r="H2" s="30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1" t="str">
        <x:v>Week</x:v>
      </x:c>
      <x:c r="B4" s="21" t="str">
        <x:v>Theme</x:v>
      </x:c>
      <x:c r="C4" s="21" t="str">
        <x:v>Goal</x:v>
      </x:c>
      <x:c r="D4" s="21" t="str">
        <x:v>Primary Resources</x:v>
      </x:c>
      <x:c r="E4" s="21" t="str">
        <x:v>Planned Hours</x:v>
      </x:c>
      <x:c r="F4" s="21" t="str">
        <x:v>Completed Tasks</x:v>
      </x:c>
      <x:c r="G4" s="21" t="str">
        <x:v>Total Tasks</x:v>
      </x:c>
      <x:c r="H4" s="21" t="str">
        <x:v>Progress</x:v>
      </x:c>
    </x:row>
    <x:row r="5">
      <x:c r="A5" s="32" t="n">
        <x:v>1</x:v>
      </x:c>
      <x:c r="B5" s="32" t="str">
        <x:v>Agent Foundations</x:v>
      </x:c>
      <x:c r="C5" s="32" t="str">
        <x:v>理解 Agent、Workflow、Context、Tool Design；完成第一个 Tool Agent</x:v>
      </x:c>
      <x:c r="D5" s="32" t="str">
        <x:v>Anthropic + OpenAI Agents SDK</x:v>
      </x:c>
      <x:c r="E5" s="32" t="n">
        <x:f>SUMIF(Plan!$A$2:$A$57,A5,Plan!$H$2:$H$57)</x:f>
        <x:v>19</x:v>
      </x:c>
      <x:c r="F5" s="32" t="n">
        <x:f>COUNTIFS(Plan!$A$2:$A$57,A5,Plan!$I$2:$I$57,"已完成")</x:f>
        <x:v>0</x:v>
      </x:c>
      <x:c r="G5" s="32" t="n">
        <x:f>COUNTIF(Plan!$A$2:$A$57,A5)</x:f>
        <x:v>7</x:v>
      </x:c>
      <x:c r="H5" s="33" t="n">
        <x:f>IFERROR(F5/G5,0)</x:f>
        <x:v>0</x:v>
      </x:c>
    </x:row>
    <x:row r="6">
      <x:c r="A6" s="32" t="n">
        <x:v>2</x:v>
      </x:c>
      <x:c r="B6" s="32" t="str">
        <x:v>Claude API + Agent Development</x:v>
      </x:c>
      <x:c r="C6" s="32" t="str">
        <x:v>掌握 Claude API、Streaming、Structured Output 与 Tool Use</x:v>
      </x:c>
      <x:c r="D6" s="32" t="str">
        <x:v>Claude Academy</x:v>
      </x:c>
      <x:c r="E6" s="32" t="n">
        <x:f>SUMIF(Plan!$A$2:$A$57,A6,Plan!$H$2:$H$57)</x:f>
        <x:v>19</x:v>
      </x:c>
      <x:c r="F6" s="32" t="n">
        <x:f>COUNTIFS(Plan!$A$2:$A$57,A6,Plan!$I$2:$I$57,"已完成")</x:f>
        <x:v>0</x:v>
      </x:c>
      <x:c r="G6" s="32" t="n">
        <x:f>COUNTIF(Plan!$A$2:$A$57,A6)</x:f>
        <x:v>7</x:v>
      </x:c>
      <x:c r="H6" s="33" t="n">
        <x:f>IFERROR(F6/G6,0)</x:f>
        <x:v>0</x:v>
      </x:c>
    </x:row>
    <x:row r="7">
      <x:c r="A7" s="32" t="n">
        <x:v>3</x:v>
      </x:c>
      <x:c r="B7" s="32" t="str">
        <x:v>MCP</x:v>
      </x:c>
      <x:c r="C7" s="32" t="str">
        <x:v>理解 MCP Host/Client/Server，并开发 GitHub MCP Server</x:v>
      </x:c>
      <x:c r="D7" s="32" t="str">
        <x:v>Hugging Face MCP Course</x:v>
      </x:c>
      <x:c r="E7" s="32" t="n">
        <x:f>SUMIF(Plan!$A$2:$A$57,A7,Plan!$H$2:$H$57)</x:f>
        <x:v>19</x:v>
      </x:c>
      <x:c r="F7" s="32" t="n">
        <x:f>COUNTIFS(Plan!$A$2:$A$57,A7,Plan!$I$2:$I$57,"已完成")</x:f>
        <x:v>0</x:v>
      </x:c>
      <x:c r="G7" s="32" t="n">
        <x:f>COUNTIF(Plan!$A$2:$A$57,A7)</x:f>
        <x:v>7</x:v>
      </x:c>
      <x:c r="H7" s="33" t="n">
        <x:f>IFERROR(F7/G7,0)</x:f>
        <x:v>0</x:v>
      </x:c>
    </x:row>
    <x:row r="8">
      <x:c r="A8" s="32" t="n">
        <x:v>4</x:v>
      </x:c>
      <x:c r="B8" s="32" t="str">
        <x:v>OpenAI Agents SDK</x:v>
      </x:c>
      <x:c r="C8" s="32" t="str">
        <x:v>掌握 Agent、Guardrail、Session、Tracing、Handoff</x:v>
      </x:c>
      <x:c r="D8" s="32" t="str">
        <x:v>OpenAI Agents SDK</x:v>
      </x:c>
      <x:c r="E8" s="32" t="n">
        <x:f>SUMIF(Plan!$A$2:$A$57,A8,Plan!$H$2:$H$57)</x:f>
        <x:v>19</x:v>
      </x:c>
      <x:c r="F8" s="32" t="n">
        <x:f>COUNTIFS(Plan!$A$2:$A$57,A8,Plan!$I$2:$I$57,"已完成")</x:f>
        <x:v>0</x:v>
      </x:c>
      <x:c r="G8" s="32" t="n">
        <x:f>COUNTIF(Plan!$A$2:$A$57,A8)</x:f>
        <x:v>7</x:v>
      </x:c>
      <x:c r="H8" s="33" t="n">
        <x:f>IFERROR(F8/G8,0)</x:f>
        <x:v>0</x:v>
      </x:c>
    </x:row>
    <x:row r="9">
      <x:c r="A9" s="32" t="n">
        <x:v>5</x:v>
      </x:c>
      <x:c r="B9" s="32" t="str">
        <x:v>RAG + Knowledge Base</x:v>
      </x:c>
      <x:c r="C9" s="32" t="str">
        <x:v>构建基于 Qdrant 的企业知识库 Agent</x:v>
      </x:c>
      <x:c r="D9" s="32" t="str">
        <x:v>Qdrant</x:v>
      </x:c>
      <x:c r="E9" s="32" t="n">
        <x:f>SUMIF(Plan!$A$2:$A$57,A9,Plan!$H$2:$H$57)</x:f>
        <x:v>19</x:v>
      </x:c>
      <x:c r="F9" s="32" t="n">
        <x:f>COUNTIFS(Plan!$A$2:$A$57,A9,Plan!$I$2:$I$57,"已完成")</x:f>
        <x:v>0</x:v>
      </x:c>
      <x:c r="G9" s="32" t="n">
        <x:f>COUNTIF(Plan!$A$2:$A$57,A9)</x:f>
        <x:v>7</x:v>
      </x:c>
      <x:c r="H9" s="33" t="n">
        <x:f>IFERROR(F9/G9,0)</x:f>
        <x:v>0</x:v>
      </x:c>
    </x:row>
    <x:row r="10">
      <x:c r="A10" s="32" t="n">
        <x:v>6</x:v>
      </x:c>
      <x:c r="B10" s="32" t="str">
        <x:v>LangGraph</x:v>
      </x:c>
      <x:c r="C10" s="32" t="str">
        <x:v>掌握状态图、条件路由、Checkpoint 与 HITL</x:v>
      </x:c>
      <x:c r="D10" s="32" t="str">
        <x:v>LangGraph</x:v>
      </x:c>
      <x:c r="E10" s="32" t="n">
        <x:f>SUMIF(Plan!$A$2:$A$57,A10,Plan!$H$2:$H$57)</x:f>
        <x:v>19</x:v>
      </x:c>
      <x:c r="F10" s="32" t="n">
        <x:f>COUNTIFS(Plan!$A$2:$A$57,A10,Plan!$I$2:$I$57,"已完成")</x:f>
        <x:v>0</x:v>
      </x:c>
      <x:c r="G10" s="32" t="n">
        <x:f>COUNTIF(Plan!$A$2:$A$57,A10)</x:f>
        <x:v>7</x:v>
      </x:c>
      <x:c r="H10" s="33" t="n">
        <x:f>IFERROR(F10/G10,0)</x:f>
        <x:v>0</x:v>
      </x:c>
    </x:row>
    <x:row r="11">
      <x:c r="A11" s="32" t="n">
        <x:v>7</x:v>
      </x:c>
      <x:c r="B11" s="32" t="str">
        <x:v>React Agent UI</x:v>
      </x:c>
      <x:c r="C11" s="32" t="str">
        <x:v>使用 React/Next.js 构建流式 Agent UI</x:v>
      </x:c>
      <x:c r="D11" s="32" t="str">
        <x:v>React + Next.js + Vercel AI SDK</x:v>
      </x:c>
      <x:c r="E11" s="32" t="n">
        <x:f>SUMIF(Plan!$A$2:$A$57,A11,Plan!$H$2:$H$57)</x:f>
        <x:v>19</x:v>
      </x:c>
      <x:c r="F11" s="32" t="n">
        <x:f>COUNTIFS(Plan!$A$2:$A$57,A11,Plan!$I$2:$I$57,"已完成")</x:f>
        <x:v>0</x:v>
      </x:c>
      <x:c r="G11" s="32" t="n">
        <x:f>COUNTIF(Plan!$A$2:$A$57,A11)</x:f>
        <x:v>7</x:v>
      </x:c>
      <x:c r="H11" s="33" t="n">
        <x:f>IFERROR(F11/G11,0)</x:f>
        <x:v>0</x:v>
      </x:c>
    </x:row>
    <x:row r="12">
      <x:c r="A12" s="32" t="n">
        <x:v>8</x:v>
      </x:c>
      <x:c r="B12" s="32" t="str">
        <x:v>Security Analyst Agent</x:v>
      </x:c>
      <x:c r="C12" s="32" t="str">
        <x:v>整合 CVE、ATT&amp;CK、IOC、报告生成与多 Agent</x:v>
      </x:c>
      <x:c r="D12" s="32" t="str">
        <x:v>MITRE ATT&amp;CK + NVD</x:v>
      </x:c>
      <x:c r="E12" s="32" t="n">
        <x:f>SUMIF(Plan!$A$2:$A$57,A12,Plan!$H$2:$H$57)</x:f>
        <x:v>20</x:v>
      </x:c>
      <x:c r="F12" s="32" t="n">
        <x:f>COUNTIFS(Plan!$A$2:$A$57,A12,Plan!$I$2:$I$57,"已完成")</x:f>
        <x:v>0</x:v>
      </x:c>
      <x:c r="G12" s="32" t="n">
        <x:f>COUNTIF(Plan!$A$2:$A$57,A12)</x:f>
        <x:v>7</x:v>
      </x:c>
      <x:c r="H12" s="33" t="n">
        <x:f>IFERROR(F12/G12,0)</x:f>
        <x:v>0</x:v>
      </x:c>
    </x:row>
    <x:row r="13">
      <x:c r="A13" s="31"/>
      <x:c r="B13" s="31"/>
      <x:c r="C13" s="31"/>
      <x:c r="D13" s="31"/>
      <x:c r="E13" s="31"/>
      <x:c r="F13" s="31"/>
      <x:c r="G13" s="31"/>
      <x:c r="H13" s="31"/>
    </x:row>
    <x:row r="14">
      <x:c r="A14" s="21" t="str">
        <x:v>Overall KPI</x:v>
      </x:c>
      <x:c r="B14" s="21" t="str">
        <x:v>Value</x:v>
      </x:c>
      <x:c r="C14" s="21" t="str"/>
      <x:c r="D14" s="21" t="str"/>
      <x:c r="E14" s="31"/>
      <x:c r="F14" s="31"/>
      <x:c r="G14" s="31"/>
      <x:c r="H14" s="31"/>
    </x:row>
    <x:row r="15">
      <x:c r="A15" s="32" t="str">
        <x:v>Total Tasks</x:v>
      </x:c>
      <x:c r="B15" s="32" t="n">
        <x:v>56</x:v>
      </x:c>
      <x:c r="C15" s="31" t="str"/>
      <x:c r="D15" s="31" t="str"/>
      <x:c r="E15" s="31"/>
      <x:c r="F15" s="31"/>
      <x:c r="G15" s="31"/>
      <x:c r="H15" s="31"/>
    </x:row>
    <x:row r="16">
      <x:c r="A16" s="32" t="str">
        <x:v>Completed Tasks</x:v>
      </x:c>
      <x:c r="B16" s="32" t="n">
        <x:f>COUNTIF(Plan!$I$2:$I$57,"已完成")</x:f>
        <x:v>0</x:v>
      </x:c>
      <x:c r="C16" s="31" t="str"/>
      <x:c r="D16" s="31" t="str"/>
      <x:c r="E16" s="31"/>
      <x:c r="F16" s="31"/>
      <x:c r="G16" s="31"/>
      <x:c r="H16" s="31"/>
    </x:row>
    <x:row r="17">
      <x:c r="A17" s="32" t="str">
        <x:v>Planned Hours</x:v>
      </x:c>
      <x:c r="B17" s="32" t="n">
        <x:f>SUM(Plan!$H$2:$H$57)</x:f>
        <x:v>153</x:v>
      </x:c>
      <x:c r="C17" s="31" t="str"/>
      <x:c r="D17" s="31" t="str"/>
      <x:c r="E17" s="31"/>
      <x:c r="F17" s="31"/>
      <x:c r="G17" s="31"/>
      <x:c r="H17" s="31"/>
    </x:row>
    <x:row r="18">
      <x:c r="A18" s="32" t="str">
        <x:v>Overall Progress</x:v>
      </x:c>
      <x:c r="B18" s="33" t="n">
        <x:f>IFERROR(B16/B15,0)</x:f>
        <x:v>0</x:v>
      </x:c>
      <x:c r="C18" s="31" t="str"/>
      <x:c r="D18" s="31" t="str"/>
      <x:c r="E18" s="31"/>
      <x:c r="F18" s="31"/>
      <x:c r="G18" s="31"/>
      <x:c r="H18" s="31"/>
    </x:row>
  </x:sheetData>
  <x:mergeCells>
    <x:mergeCell ref="A1:H1"/>
    <x:mergeCell ref="A2:H2"/>
  </x:mergeCells>
  <x:conditionalFormatting sqref="A5:H12">
    <x:cfRule type="expression" dxfId="0" priority="1">
      <x:formula>MOD($A5,2)=0</x:formula>
    </x:cfRule>
  </x:conditionalFormatting>
  <x:conditionalFormatting sqref="H5:H12">
    <x:cfRule type="dataBar" priority="2">
      <x:dataBar>
        <x:cfvo type="min"/>
        <x:cfvo type="max"/>
        <x:color rgb="70AD47"/>
      </x:dataBar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44" hidden="0" customWidth="1"/>
    <x:col min="5" max="5" width="28" hidden="0" customWidth="1"/>
    <x:col min="6" max="6" width="28" hidden="0" customWidth="1"/>
    <x:col min="7" max="7" width="42" hidden="0" customWidth="1"/>
    <x:col min="8" max="8" width="9" hidden="0" customWidth="1"/>
    <x:col min="9" max="9" width="12" hidden="0" customWidth="1"/>
    <x:col min="10" max="10" width="32" hidden="0" customWidth="1"/>
  </x:cols>
  <x:sheetData>
    <x:row r="1" ht="28" customHeight="1">
      <x:c r="A1" s="40" t="str">
        <x:v>Week</x:v>
      </x:c>
      <x:c r="B1" s="40" t="str">
        <x:v>Day</x:v>
      </x:c>
      <x:c r="C1" s="40" t="str">
        <x:v>Topic</x:v>
      </x:c>
      <x:c r="D1" s="40" t="str">
        <x:v>Learning Tasks</x:v>
      </x:c>
      <x:c r="E1" s="40" t="str">
        <x:v>Deliverable</x:v>
      </x:c>
      <x:c r="F1" s="40" t="str">
        <x:v>Resource</x:v>
      </x:c>
      <x:c r="G1" s="40" t="str">
        <x:v>Source URL</x:v>
      </x:c>
      <x:c r="H1" s="40" t="str">
        <x:v>Hours</x:v>
      </x:c>
      <x:c r="I1" s="40" t="str">
        <x:v>Status</x:v>
      </x:c>
      <x:c r="J1" s="40" t="str">
        <x:v>Notes</x:v>
      </x:c>
    </x:row>
    <x:row r="2">
      <x:c r="A2" s="44" t="n">
        <x:v>1</x:v>
      </x:c>
      <x:c r="B2" s="44" t="n">
        <x:v>1</x:v>
      </x:c>
      <x:c r="C2" s="44" t="str">
        <x:v>Workflow vs Agent</x:v>
      </x:c>
      <x:c r="D2" s="44" t="str">
        <x:v>阅读 Building Effective Agents；理解 Workflow、Agent 及适用边界</x:v>
      </x:c>
      <x:c r="E2" s="44" t="str">
        <x:v>agent-fundamentals.md</x:v>
      </x:c>
      <x:c r="F2" s="44" t="str">
        <x:v>Anthropic Building Effective Agents</x:v>
      </x:c>
      <x:c r="G2" s="44" t="str">
        <x:v>https://www.anthropic.com/research/building-effective-agents</x:v>
      </x:c>
      <x:c r="H2" s="44" t="n">
        <x:v>2</x:v>
      </x:c>
      <x:c r="I2" s="44" t="str">
        <x:v>未开始</x:v>
      </x:c>
      <x:c r="J2" s="44" t="str"/>
    </x:row>
    <x:row r="3">
      <x:c r="A3" s="44" t="n">
        <x:v>1</x:v>
      </x:c>
      <x:c r="B3" s="44" t="n">
        <x:v>2</x:v>
      </x:c>
      <x:c r="C3" s="44" t="str">
        <x:v>Context Engineering</x:v>
      </x:c>
      <x:c r="D3" s="44" t="str">
        <x:v>学习 Context Window、Short-Term Memory、Long-Term Memory</x:v>
      </x:c>
      <x:c r="E3" s="44" t="str">
        <x:v>context-engineering.md</x:v>
      </x:c>
      <x:c r="F3" s="44" t="str">
        <x:v>Anthropic Engineering</x:v>
      </x:c>
      <x:c r="G3" s="44" t="str">
        <x:v>https://www.anthropic.com/engineering</x:v>
      </x:c>
      <x:c r="H3" s="44" t="n">
        <x:v>2</x:v>
      </x:c>
      <x:c r="I3" s="44" t="str">
        <x:v>未开始</x:v>
      </x:c>
      <x:c r="J3" s="44" t="str"/>
    </x:row>
    <x:row r="4">
      <x:c r="A4" s="44" t="n">
        <x:v>1</x:v>
      </x:c>
      <x:c r="B4" s="44" t="n">
        <x:v>3</x:v>
      </x:c>
      <x:c r="C4" s="44" t="str">
        <x:v>Tool Design</x:v>
      </x:c>
      <x:c r="D4" s="44" t="str">
        <x:v>学习 Tool Schema、输入输出边界、错误处理</x:v>
      </x:c>
      <x:c r="E4" s="44" t="str">
        <x:v>tools-design.md</x:v>
      </x:c>
      <x:c r="F4" s="44" t="str">
        <x:v>Anthropic Engineering</x:v>
      </x:c>
      <x:c r="G4" s="44" t="str">
        <x:v>https://www.anthropic.com/engineering</x:v>
      </x:c>
      <x:c r="H4" s="44" t="n">
        <x:v>2</x:v>
      </x:c>
      <x:c r="I4" s="44" t="str">
        <x:v>未开始</x:v>
      </x:c>
      <x:c r="J4" s="44" t="str"/>
    </x:row>
    <x:row r="5">
      <x:c r="A5" s="44" t="n">
        <x:v>1</x:v>
      </x:c>
      <x:c r="B5" s="44" t="n">
        <x:v>4</x:v>
      </x:c>
      <x:c r="C5" s="44" t="str">
        <x:v>SDK Quick Start</x:v>
      </x:c>
      <x:c r="D5" s="44" t="str">
        <x:v>配置 Python 环境；安装 OpenAI Agents SDK；运行 Quick Start</x:v>
      </x:c>
      <x:c r="E5" s="44" t="str">
        <x:v>hello-agent.py</x:v>
      </x:c>
      <x:c r="F5" s="44" t="str">
        <x:v>OpenAI Agents SDK Docs</x:v>
      </x:c>
      <x:c r="G5" s="44" t="str">
        <x:v>https://openai.github.io/openai-agents-python/</x:v>
      </x:c>
      <x:c r="H5" s="44" t="n">
        <x:v>2</x:v>
      </x:c>
      <x:c r="I5" s="44" t="str">
        <x:v>未开始</x:v>
      </x:c>
      <x:c r="J5" s="44" t="str"/>
    </x:row>
    <x:row r="6">
      <x:c r="A6" s="44" t="n">
        <x:v>1</x:v>
      </x:c>
      <x:c r="B6" s="44" t="n">
        <x:v>5</x:v>
      </x:c>
      <x:c r="C6" s="44" t="str">
        <x:v>Calculator Agent</x:v>
      </x:c>
      <x:c r="D6" s="44" t="str">
        <x:v>开发 Calculator Tool 与 Date Tool</x:v>
      </x:c>
      <x:c r="E6" s="44" t="str">
        <x:v>calculator-agent.py</x:v>
      </x:c>
      <x:c r="F6" s="44" t="str">
        <x:v>OpenAI Agents SDK Docs</x:v>
      </x:c>
      <x:c r="G6" s="44" t="str">
        <x:v>https://openai.github.io/openai-agents-python/</x:v>
      </x:c>
      <x:c r="H6" s="44" t="n">
        <x:v>2</x:v>
      </x:c>
      <x:c r="I6" s="44" t="str">
        <x:v>未开始</x:v>
      </x:c>
      <x:c r="J6" s="44" t="str"/>
    </x:row>
    <x:row r="7">
      <x:c r="A7" s="44" t="n">
        <x:v>1</x:v>
      </x:c>
      <x:c r="B7" s="44" t="n">
        <x:v>6</x:v>
      </x:c>
      <x:c r="C7" s="44" t="str">
        <x:v>Multi-Tool Agent</x:v>
      </x:c>
      <x:c r="D7" s="44" t="str">
        <x:v>开发 Weather Mock Tool；组合多个工具</x:v>
      </x:c>
      <x:c r="E7" s="44" t="str">
        <x:v>weather-agent.py</x:v>
      </x:c>
      <x:c r="F7" s="44" t="str">
        <x:v>OpenAI Agents SDK Docs</x:v>
      </x:c>
      <x:c r="G7" s="44" t="str">
        <x:v>https://openai.github.io/openai-agents-python/</x:v>
      </x:c>
      <x:c r="H7" s="44" t="n">
        <x:v>5</x:v>
      </x:c>
      <x:c r="I7" s="44" t="str">
        <x:v>未开始</x:v>
      </x:c>
      <x:c r="J7" s="44" t="str"/>
    </x:row>
    <x:row r="8">
      <x:c r="A8" s="44" t="n">
        <x:v>1</x:v>
      </x:c>
      <x:c r="B8" s="44" t="n">
        <x:v>7</x:v>
      </x:c>
      <x:c r="C8" s="44" t="str">
        <x:v>周复盘</x:v>
      </x:c>
      <x:c r="D8" s="44" t="str">
        <x:v>整理知识体系；绘制 Agent Architecture Diagram</x:v>
      </x:c>
      <x:c r="E8" s="44" t="str">
        <x:v>Week1-Review.md</x:v>
      </x:c>
      <x:c r="F8" s="44" t="str">
        <x:v>Anthropic Building Effective Agents</x:v>
      </x:c>
      <x:c r="G8" s="44" t="str">
        <x:v>https://www.anthropic.com/research/building-effective-agents</x:v>
      </x:c>
      <x:c r="H8" s="44" t="n">
        <x:v>4</x:v>
      </x:c>
      <x:c r="I8" s="44" t="str">
        <x:v>未开始</x:v>
      </x:c>
      <x:c r="J8" s="44" t="str"/>
    </x:row>
    <x:row r="9">
      <x:c r="A9" s="44" t="n">
        <x:v>2</x:v>
      </x:c>
      <x:c r="B9" s="44" t="n">
        <x:v>8</x:v>
      </x:c>
      <x:c r="C9" s="44" t="str">
        <x:v>Claude Platform 101</x:v>
      </x:c>
      <x:c r="D9" s="44" t="str">
        <x:v>学习 Messages API、模型调用与基础参数</x:v>
      </x:c>
      <x:c r="E9" s="44" t="str">
        <x:v>claude-api-notes.md</x:v>
      </x:c>
      <x:c r="F9" s="44" t="str">
        <x:v>Claude Academy</x:v>
      </x:c>
      <x:c r="G9" s="44" t="str">
        <x:v>https://academy.claude.com/collections/build-with-claude</x:v>
      </x:c>
      <x:c r="H9" s="44" t="n">
        <x:v>2</x:v>
      </x:c>
      <x:c r="I9" s="44" t="str">
        <x:v>未开始</x:v>
      </x:c>
      <x:c r="J9" s="44" t="str"/>
    </x:row>
    <x:row r="10">
      <x:c r="A10" s="44" t="n">
        <x:v>2</x:v>
      </x:c>
      <x:c r="B10" s="44" t="n">
        <x:v>9</x:v>
      </x:c>
      <x:c r="C10" s="44" t="str">
        <x:v>Streaming &amp; Context</x:v>
      </x:c>
      <x:c r="D10" s="44" t="str">
        <x:v>实现流式响应；练习 Context Management</x:v>
      </x:c>
      <x:c r="E10" s="44" t="str">
        <x:v>streaming-demo.py</x:v>
      </x:c>
      <x:c r="F10" s="44" t="str">
        <x:v>Claude Academy</x:v>
      </x:c>
      <x:c r="G10" s="44" t="str">
        <x:v>https://academy.claude.com/collections/build-with-claude</x:v>
      </x:c>
      <x:c r="H10" s="44" t="n">
        <x:v>2</x:v>
      </x:c>
      <x:c r="I10" s="44" t="str">
        <x:v>未开始</x:v>
      </x:c>
      <x:c r="J10" s="44" t="str"/>
    </x:row>
    <x:row r="11">
      <x:c r="A11" s="44" t="n">
        <x:v>2</x:v>
      </x:c>
      <x:c r="B11" s="44" t="n">
        <x:v>10</x:v>
      </x:c>
      <x:c r="C11" s="44" t="str">
        <x:v>API Fundamentals</x:v>
      </x:c>
      <x:c r="D11" s="44" t="str">
        <x:v>完成 Claude API 基础课程与示例</x:v>
      </x:c>
      <x:c r="E11" s="44" t="str">
        <x:v>api-fundamentals.py</x:v>
      </x:c>
      <x:c r="F11" s="44" t="str">
        <x:v>Claude Academy</x:v>
      </x:c>
      <x:c r="G11" s="44" t="str">
        <x:v>https://academy.claude.com/collections/build-with-claude</x:v>
      </x:c>
      <x:c r="H11" s="44" t="n">
        <x:v>2</x:v>
      </x:c>
      <x:c r="I11" s="44" t="str">
        <x:v>未开始</x:v>
      </x:c>
      <x:c r="J11" s="44" t="str"/>
    </x:row>
    <x:row r="12">
      <x:c r="A12" s="44" t="n">
        <x:v>2</x:v>
      </x:c>
      <x:c r="B12" s="44" t="n">
        <x:v>11</x:v>
      </x:c>
      <x:c r="C12" s="44" t="str">
        <x:v>Prompt &amp; Structured Output</x:v>
      </x:c>
      <x:c r="D12" s="44" t="str">
        <x:v>练习 Prompt Engineering 与结构化输出</x:v>
      </x:c>
      <x:c r="E12" s="44" t="str">
        <x:v>structured-output.py</x:v>
      </x:c>
      <x:c r="F12" s="44" t="str">
        <x:v>Claude Academy</x:v>
      </x:c>
      <x:c r="G12" s="44" t="str">
        <x:v>https://academy.claude.com/collections/build-with-claude</x:v>
      </x:c>
      <x:c r="H12" s="44" t="n">
        <x:v>2</x:v>
      </x:c>
      <x:c r="I12" s="44" t="str">
        <x:v>未开始</x:v>
      </x:c>
      <x:c r="J12" s="44" t="str"/>
    </x:row>
    <x:row r="13">
      <x:c r="A13" s="44" t="n">
        <x:v>2</x:v>
      </x:c>
      <x:c r="B13" s="44" t="n">
        <x:v>12</x:v>
      </x:c>
      <x:c r="C13" s="44" t="str">
        <x:v>Tool Use</x:v>
      </x:c>
      <x:c r="D13" s="44" t="str">
        <x:v>实现 Tool Calling；优化工具描述与参数模型</x:v>
      </x:c>
      <x:c r="E13" s="44" t="str">
        <x:v>tool-use-demo.py</x:v>
      </x:c>
      <x:c r="F13" s="44" t="str">
        <x:v>Claude Academy</x:v>
      </x:c>
      <x:c r="G13" s="44" t="str">
        <x:v>https://academy.claude.com/collections/build-with-claude</x:v>
      </x:c>
      <x:c r="H13" s="44" t="n">
        <x:v>2</x:v>
      </x:c>
      <x:c r="I13" s="44" t="str">
        <x:v>未开始</x:v>
      </x:c>
      <x:c r="J13" s="44" t="str"/>
    </x:row>
    <x:row r="14">
      <x:c r="A14" s="44" t="n">
        <x:v>2</x:v>
      </x:c>
      <x:c r="B14" s="44" t="n">
        <x:v>13</x:v>
      </x:c>
      <x:c r="C14" s="44" t="str">
        <x:v>Research Agent</x:v>
      </x:c>
      <x:c r="D14" s="44" t="str">
        <x:v>实现搜索、总结、引用的数据流</x:v>
      </x:c>
      <x:c r="E14" s="44" t="str">
        <x:v>research-agent-v0.1</x:v>
      </x:c>
      <x:c r="F14" s="44" t="str">
        <x:v>Claude Academy</x:v>
      </x:c>
      <x:c r="G14" s="44" t="str">
        <x:v>https://academy.claude.com/collections/build-with-claude</x:v>
      </x:c>
      <x:c r="H14" s="44" t="n">
        <x:v>5</x:v>
      </x:c>
      <x:c r="I14" s="44" t="str">
        <x:v>未开始</x:v>
      </x:c>
      <x:c r="J14" s="44" t="str"/>
    </x:row>
    <x:row r="15">
      <x:c r="A15" s="44" t="n">
        <x:v>2</x:v>
      </x:c>
      <x:c r="B15" s="44" t="n">
        <x:v>14</x:v>
      </x:c>
      <x:c r="C15" s="44" t="str">
        <x:v>周项目验收</x:v>
      </x:c>
      <x:c r="D15" s="44" t="str">
        <x:v>补充异常处理、README 与测试用例</x:v>
      </x:c>
      <x:c r="E15" s="44" t="str">
        <x:v>Research Agent v1</x:v>
      </x:c>
      <x:c r="F15" s="44" t="str">
        <x:v>Claude Academy</x:v>
      </x:c>
      <x:c r="G15" s="44" t="str">
        <x:v>https://academy.claude.com/collections/build-with-claude</x:v>
      </x:c>
      <x:c r="H15" s="44" t="n">
        <x:v>4</x:v>
      </x:c>
      <x:c r="I15" s="44" t="str">
        <x:v>未开始</x:v>
      </x:c>
      <x:c r="J15" s="44" t="str"/>
    </x:row>
    <x:row r="16">
      <x:c r="A16" s="44" t="n">
        <x:v>3</x:v>
      </x:c>
      <x:c r="B16" s="44" t="n">
        <x:v>15</x:v>
      </x:c>
      <x:c r="C16" s="44" t="str">
        <x:v>MCP Overview</x:v>
      </x:c>
      <x:c r="D16" s="44" t="str">
        <x:v>学习 MCP 目标、核心概念与使用场景</x:v>
      </x:c>
      <x:c r="E16" s="44" t="str">
        <x:v>mcp-overview.md</x:v>
      </x:c>
      <x:c r="F16" s="44" t="str">
        <x:v>Hugging Face MCP Course</x:v>
      </x:c>
      <x:c r="G16" s="44" t="str">
        <x:v>https://huggingface.co/learn/mcp-course/unit0/introduction</x:v>
      </x:c>
      <x:c r="H16" s="44" t="n">
        <x:v>2</x:v>
      </x:c>
      <x:c r="I16" s="44" t="str">
        <x:v>未开始</x:v>
      </x:c>
      <x:c r="J16" s="44" t="str"/>
    </x:row>
    <x:row r="17">
      <x:c r="A17" s="44" t="n">
        <x:v>3</x:v>
      </x:c>
      <x:c r="B17" s="44" t="n">
        <x:v>16</x:v>
      </x:c>
      <x:c r="C17" s="44" t="str">
        <x:v>MCP Architecture</x:v>
      </x:c>
      <x:c r="D17" s="44" t="str">
        <x:v>理解 Host、Client、Server、Tool、Resource、Prompt</x:v>
      </x:c>
      <x:c r="E17" s="44" t="str">
        <x:v>mcp-architecture.md</x:v>
      </x:c>
      <x:c r="F17" s="44" t="str">
        <x:v>Hugging Face MCP Course</x:v>
      </x:c>
      <x:c r="G17" s="44" t="str">
        <x:v>https://huggingface.co/learn/mcp-course/unit0/introduction</x:v>
      </x:c>
      <x:c r="H17" s="44" t="n">
        <x:v>2</x:v>
      </x:c>
      <x:c r="I17" s="44" t="str">
        <x:v>未开始</x:v>
      </x:c>
      <x:c r="J17" s="44" t="str"/>
    </x:row>
    <x:row r="18">
      <x:c r="A18" s="44" t="n">
        <x:v>3</x:v>
      </x:c>
      <x:c r="B18" s="44" t="n">
        <x:v>17</x:v>
      </x:c>
      <x:c r="C18" s="44" t="str">
        <x:v>Python MCP SDK</x:v>
      </x:c>
      <x:c r="D18" s="44" t="str">
        <x:v>完成 Python SDK 教程与基础示例</x:v>
      </x:c>
      <x:c r="E18" s="44" t="str">
        <x:v>mcp-sdk-demo.py</x:v>
      </x:c>
      <x:c r="F18" s="44" t="str">
        <x:v>Hugging Face MCP Course</x:v>
      </x:c>
      <x:c r="G18" s="44" t="str">
        <x:v>https://huggingface.co/learn/mcp-course/unit0/introduction</x:v>
      </x:c>
      <x:c r="H18" s="44" t="n">
        <x:v>2</x:v>
      </x:c>
      <x:c r="I18" s="44" t="str">
        <x:v>未开始</x:v>
      </x:c>
      <x:c r="J18" s="44" t="str"/>
    </x:row>
    <x:row r="19">
      <x:c r="A19" s="44" t="n">
        <x:v>3</x:v>
      </x:c>
      <x:c r="B19" s="44" t="n">
        <x:v>18</x:v>
      </x:c>
      <x:c r="C19" s="44" t="str">
        <x:v>Hello MCP Server</x:v>
      </x:c>
      <x:c r="D19" s="44" t="str">
        <x:v>开发并测试第一个 MCP Server</x:v>
      </x:c>
      <x:c r="E19" s="44" t="str">
        <x:v>hello-mcp-server</x:v>
      </x:c>
      <x:c r="F19" s="44" t="str">
        <x:v>Hugging Face MCP Course</x:v>
      </x:c>
      <x:c r="G19" s="44" t="str">
        <x:v>https://huggingface.co/learn/mcp-course/unit0/introduction</x:v>
      </x:c>
      <x:c r="H19" s="44" t="n">
        <x:v>2</x:v>
      </x:c>
      <x:c r="I19" s="44" t="str">
        <x:v>未开始</x:v>
      </x:c>
      <x:c r="J19" s="44" t="str"/>
    </x:row>
    <x:row r="20">
      <x:c r="A20" s="44" t="n">
        <x:v>3</x:v>
      </x:c>
      <x:c r="B20" s="44" t="n">
        <x:v>19</x:v>
      </x:c>
      <x:c r="C20" s="44" t="str">
        <x:v>File MCP Server</x:v>
      </x:c>
      <x:c r="D20" s="44" t="str">
        <x:v>实现受控 Read File 与 Write File 工具</x:v>
      </x:c>
      <x:c r="E20" s="44" t="str">
        <x:v>file-mcp-server</x:v>
      </x:c>
      <x:c r="F20" s="44" t="str">
        <x:v>Hugging Face MCP Course</x:v>
      </x:c>
      <x:c r="G20" s="44" t="str">
        <x:v>https://huggingface.co/learn/mcp-course/unit0/introduction</x:v>
      </x:c>
      <x:c r="H20" s="44" t="n">
        <x:v>2</x:v>
      </x:c>
      <x:c r="I20" s="44" t="str">
        <x:v>未开始</x:v>
      </x:c>
      <x:c r="J20" s="44" t="str"/>
    </x:row>
    <x:row r="21">
      <x:c r="A21" s="44" t="n">
        <x:v>3</x:v>
      </x:c>
      <x:c r="B21" s="44" t="n">
        <x:v>20</x:v>
      </x:c>
      <x:c r="C21" s="44" t="str">
        <x:v>GitHub MCP Server</x:v>
      </x:c>
      <x:c r="D21" s="44" t="str">
        <x:v>实现 Repository、PR、Issue 查询</x:v>
      </x:c>
      <x:c r="E21" s="44" t="str">
        <x:v>github-mcp-server</x:v>
      </x:c>
      <x:c r="F21" s="44" t="str">
        <x:v>Hugging Face MCP Course</x:v>
      </x:c>
      <x:c r="G21" s="44" t="str">
        <x:v>https://huggingface.co/learn/mcp-course/unit0/introduction</x:v>
      </x:c>
      <x:c r="H21" s="44" t="n">
        <x:v>5</x:v>
      </x:c>
      <x:c r="I21" s="44" t="str">
        <x:v>未开始</x:v>
      </x:c>
      <x:c r="J21" s="44" t="str"/>
    </x:row>
    <x:row r="22">
      <x:c r="A22" s="44" t="n">
        <x:v>3</x:v>
      </x:c>
      <x:c r="B22" s="44" t="n">
        <x:v>21</x:v>
      </x:c>
      <x:c r="C22" s="44" t="str">
        <x:v>周复盘</x:v>
      </x:c>
      <x:c r="D22" s="44" t="str">
        <x:v>绘制 Agent + MCP 架构图；整理安全边界</x:v>
      </x:c>
      <x:c r="E22" s="44" t="str">
        <x:v>Week3-Review.md</x:v>
      </x:c>
      <x:c r="F22" s="44" t="str">
        <x:v>Hugging Face MCP Course</x:v>
      </x:c>
      <x:c r="G22" s="44" t="str">
        <x:v>https://huggingface.co/learn/mcp-course/unit0/introduction</x:v>
      </x:c>
      <x:c r="H22" s="44" t="n">
        <x:v>4</x:v>
      </x:c>
      <x:c r="I22" s="44" t="str">
        <x:v>未开始</x:v>
      </x:c>
      <x:c r="J22" s="44" t="str"/>
    </x:row>
    <x:row r="23">
      <x:c r="A23" s="44" t="n">
        <x:v>4</x:v>
      </x:c>
      <x:c r="B23" s="44" t="n">
        <x:v>22</x:v>
      </x:c>
      <x:c r="C23" s="44" t="str">
        <x:v>Agent &amp; Instructions</x:v>
      </x:c>
      <x:c r="D23" s="44" t="str">
        <x:v>掌握 Agent 定义、Instructions 与 Tool 注册</x:v>
      </x:c>
      <x:c r="E23" s="44" t="str">
        <x:v>agent-basics.py</x:v>
      </x:c>
      <x:c r="F23" s="44" t="str">
        <x:v>OpenAI Agents SDK Docs</x:v>
      </x:c>
      <x:c r="G23" s="44" t="str">
        <x:v>https://openai.github.io/openai-agents-python/</x:v>
      </x:c>
      <x:c r="H23" s="44" t="n">
        <x:v>2</x:v>
      </x:c>
      <x:c r="I23" s="44" t="str">
        <x:v>未开始</x:v>
      </x:c>
      <x:c r="J23" s="44" t="str"/>
    </x:row>
    <x:row r="24">
      <x:c r="A24" s="44" t="n">
        <x:v>4</x:v>
      </x:c>
      <x:c r="B24" s="44" t="n">
        <x:v>23</x:v>
      </x:c>
      <x:c r="C24" s="44" t="str">
        <x:v>Guardrails</x:v>
      </x:c>
      <x:c r="D24" s="44" t="str">
        <x:v>实现输入与输出 Guardrail</x:v>
      </x:c>
      <x:c r="E24" s="44" t="str">
        <x:v>guardrails.py</x:v>
      </x:c>
      <x:c r="F24" s="44" t="str">
        <x:v>OpenAI Agents SDK Docs</x:v>
      </x:c>
      <x:c r="G24" s="44" t="str">
        <x:v>https://openai.github.io/openai-agents-python/</x:v>
      </x:c>
      <x:c r="H24" s="44" t="n">
        <x:v>2</x:v>
      </x:c>
      <x:c r="I24" s="44" t="str">
        <x:v>未开始</x:v>
      </x:c>
      <x:c r="J24" s="44" t="str"/>
    </x:row>
    <x:row r="25">
      <x:c r="A25" s="44" t="n">
        <x:v>4</x:v>
      </x:c>
      <x:c r="B25" s="44" t="n">
        <x:v>24</x:v>
      </x:c>
      <x:c r="C25" s="44" t="str">
        <x:v>Sessions &amp; Memory</x:v>
      </x:c>
      <x:c r="D25" s="44" t="str">
        <x:v>掌握 Session 状态和对话记忆</x:v>
      </x:c>
      <x:c r="E25" s="44" t="str">
        <x:v>sessions-memory.py</x:v>
      </x:c>
      <x:c r="F25" s="44" t="str">
        <x:v>OpenAI Agents SDK Docs</x:v>
      </x:c>
      <x:c r="G25" s="44" t="str">
        <x:v>https://openai.github.io/openai-agents-python/</x:v>
      </x:c>
      <x:c r="H25" s="44" t="n">
        <x:v>2</x:v>
      </x:c>
      <x:c r="I25" s="44" t="str">
        <x:v>未开始</x:v>
      </x:c>
      <x:c r="J25" s="44" t="str"/>
    </x:row>
    <x:row r="26">
      <x:c r="A26" s="44" t="n">
        <x:v>4</x:v>
      </x:c>
      <x:c r="B26" s="44" t="n">
        <x:v>25</x:v>
      </x:c>
      <x:c r="C26" s="44" t="str">
        <x:v>Tracing</x:v>
      </x:c>
      <x:c r="D26" s="44" t="str">
        <x:v>启用 Tracing；分析一次完整调用链</x:v>
      </x:c>
      <x:c r="E26" s="44" t="str">
        <x:v>tracing-notes.md</x:v>
      </x:c>
      <x:c r="F26" s="44" t="str">
        <x:v>OpenAI Agents SDK Docs</x:v>
      </x:c>
      <x:c r="G26" s="44" t="str">
        <x:v>https://openai.github.io/openai-agents-python/</x:v>
      </x:c>
      <x:c r="H26" s="44" t="n">
        <x:v>2</x:v>
      </x:c>
      <x:c r="I26" s="44" t="str">
        <x:v>未开始</x:v>
      </x:c>
      <x:c r="J26" s="44" t="str"/>
    </x:row>
    <x:row r="27">
      <x:c r="A27" s="44" t="n">
        <x:v>4</x:v>
      </x:c>
      <x:c r="B27" s="44" t="n">
        <x:v>26</x:v>
      </x:c>
      <x:c r="C27" s="44" t="str">
        <x:v>Handoffs</x:v>
      </x:c>
      <x:c r="D27" s="44" t="str">
        <x:v>实现 Agent 间 Handoff 与责任边界</x:v>
      </x:c>
      <x:c r="E27" s="44" t="str">
        <x:v>handoffs.py</x:v>
      </x:c>
      <x:c r="F27" s="44" t="str">
        <x:v>OpenAI Agents SDK Docs</x:v>
      </x:c>
      <x:c r="G27" s="44" t="str">
        <x:v>https://openai.github.io/openai-agents-python/</x:v>
      </x:c>
      <x:c r="H27" s="44" t="n">
        <x:v>2</x:v>
      </x:c>
      <x:c r="I27" s="44" t="str">
        <x:v>未开始</x:v>
      </x:c>
      <x:c r="J27" s="44" t="str"/>
    </x:row>
    <x:row r="28">
      <x:c r="A28" s="44" t="n">
        <x:v>4</x:v>
      </x:c>
      <x:c r="B28" s="44" t="n">
        <x:v>27</x:v>
      </x:c>
      <x:c r="C28" s="44" t="str">
        <x:v>Security Research Agent</x:v>
      </x:c>
      <x:c r="D28" s="44" t="str">
        <x:v>实现安全研究单 Agent，加入结构化报告</x:v>
      </x:c>
      <x:c r="E28" s="44" t="str">
        <x:v>security-research-agent</x:v>
      </x:c>
      <x:c r="F28" s="44" t="str">
        <x:v>OpenAI Agents SDK Docs</x:v>
      </x:c>
      <x:c r="G28" s="44" t="str">
        <x:v>https://openai.github.io/openai-agents-python/</x:v>
      </x:c>
      <x:c r="H28" s="44" t="n">
        <x:v>5</x:v>
      </x:c>
      <x:c r="I28" s="44" t="str">
        <x:v>未开始</x:v>
      </x:c>
      <x:c r="J28" s="44" t="str"/>
    </x:row>
    <x:row r="29">
      <x:c r="A29" s="44" t="n">
        <x:v>4</x:v>
      </x:c>
      <x:c r="B29" s="44" t="n">
        <x:v>28</x:v>
      </x:c>
      <x:c r="C29" s="44" t="str">
        <x:v>Mini Deep Research</x:v>
      </x:c>
      <x:c r="D29" s="44" t="str">
        <x:v>实现 Planner/Researcher/Writer 协作与引用</x:v>
      </x:c>
      <x:c r="E29" s="44" t="str">
        <x:v>mini-deep-research</x:v>
      </x:c>
      <x:c r="F29" s="44" t="str">
        <x:v>OpenAI Agents SDK GitHub</x:v>
      </x:c>
      <x:c r="G29" s="44" t="str">
        <x:v>https://github.com/openai/openai-agents-python</x:v>
      </x:c>
      <x:c r="H29" s="44" t="n">
        <x:v>4</x:v>
      </x:c>
      <x:c r="I29" s="44" t="str">
        <x:v>未开始</x:v>
      </x:c>
      <x:c r="J29" s="44" t="str"/>
    </x:row>
    <x:row r="30">
      <x:c r="A30" s="44" t="n">
        <x:v>5</x:v>
      </x:c>
      <x:c r="B30" s="44" t="n">
        <x:v>29</x:v>
      </x:c>
      <x:c r="C30" s="44" t="str">
        <x:v>Vector DB &amp; Embedding</x:v>
      </x:c>
      <x:c r="D30" s="44" t="str">
        <x:v>理解 Collection、Point、Vector、Embedding</x:v>
      </x:c>
      <x:c r="E30" s="44" t="str">
        <x:v>qdrant-basics.md</x:v>
      </x:c>
      <x:c r="F30" s="44" t="str">
        <x:v>Qdrant Documentation</x:v>
      </x:c>
      <x:c r="G30" s="44" t="str">
        <x:v>https://qdrant.tech/documentation/</x:v>
      </x:c>
      <x:c r="H30" s="44" t="n">
        <x:v>2</x:v>
      </x:c>
      <x:c r="I30" s="44" t="str">
        <x:v>未开始</x:v>
      </x:c>
      <x:c r="J30" s="44" t="str"/>
    </x:row>
    <x:row r="31">
      <x:c r="A31" s="44" t="n">
        <x:v>5</x:v>
      </x:c>
      <x:c r="B31" s="44" t="n">
        <x:v>30</x:v>
      </x:c>
      <x:c r="C31" s="44" t="str">
        <x:v>Chunking Strategy</x:v>
      </x:c>
      <x:c r="D31" s="44" t="str">
        <x:v>比较固定长度、递归与语义分块</x:v>
      </x:c>
      <x:c r="E31" s="44" t="str">
        <x:v>chunking-experiment.md</x:v>
      </x:c>
      <x:c r="F31" s="44" t="str">
        <x:v>Qdrant Documentation</x:v>
      </x:c>
      <x:c r="G31" s="44" t="str">
        <x:v>https://qdrant.tech/documentation/</x:v>
      </x:c>
      <x:c r="H31" s="44" t="n">
        <x:v>2</x:v>
      </x:c>
      <x:c r="I31" s="44" t="str">
        <x:v>未开始</x:v>
      </x:c>
      <x:c r="J31" s="44" t="str"/>
    </x:row>
    <x:row r="32">
      <x:c r="A32" s="44" t="n">
        <x:v>5</x:v>
      </x:c>
      <x:c r="B32" s="44" t="n">
        <x:v>31</x:v>
      </x:c>
      <x:c r="C32" s="44" t="str">
        <x:v>Retrieval Strategy</x:v>
      </x:c>
      <x:c r="D32" s="44" t="str">
        <x:v>实现 Top-K、Metadata Filter 与 Hybrid Search</x:v>
      </x:c>
      <x:c r="E32" s="44" t="str">
        <x:v>retrieval-demo.py</x:v>
      </x:c>
      <x:c r="F32" s="44" t="str">
        <x:v>Qdrant Documentation</x:v>
      </x:c>
      <x:c r="G32" s="44" t="str">
        <x:v>https://qdrant.tech/documentation/</x:v>
      </x:c>
      <x:c r="H32" s="44" t="n">
        <x:v>2</x:v>
      </x:c>
      <x:c r="I32" s="44" t="str">
        <x:v>未开始</x:v>
      </x:c>
      <x:c r="J32" s="44" t="str"/>
    </x:row>
    <x:row r="33">
      <x:c r="A33" s="44" t="n">
        <x:v>5</x:v>
      </x:c>
      <x:c r="B33" s="44" t="n">
        <x:v>32</x:v>
      </x:c>
      <x:c r="C33" s="44" t="str">
        <x:v>PDF Parser</x:v>
      </x:c>
      <x:c r="D33" s="44" t="str">
        <x:v>解析 PDF；保留页码与来源元数据</x:v>
      </x:c>
      <x:c r="E33" s="44" t="str">
        <x:v>pdf-parser.py</x:v>
      </x:c>
      <x:c r="F33" s="44" t="str">
        <x:v>Qdrant Documentation</x:v>
      </x:c>
      <x:c r="G33" s="44" t="str">
        <x:v>https://qdrant.tech/documentation/</x:v>
      </x:c>
      <x:c r="H33" s="44" t="n">
        <x:v>2</x:v>
      </x:c>
      <x:c r="I33" s="44" t="str">
        <x:v>未开始</x:v>
      </x:c>
      <x:c r="J33" s="44" t="str"/>
    </x:row>
    <x:row r="34">
      <x:c r="A34" s="44" t="n">
        <x:v>5</x:v>
      </x:c>
      <x:c r="B34" s="44" t="n">
        <x:v>33</x:v>
      </x:c>
      <x:c r="C34" s="44" t="str">
        <x:v>Document Indexer</x:v>
      </x:c>
      <x:c r="D34" s="44" t="str">
        <x:v>实现文档切分、Embedding 与索引</x:v>
      </x:c>
      <x:c r="E34" s="44" t="str">
        <x:v>document-indexer.py</x:v>
      </x:c>
      <x:c r="F34" s="44" t="str">
        <x:v>Qdrant Documentation</x:v>
      </x:c>
      <x:c r="G34" s="44" t="str">
        <x:v>https://qdrant.tech/documentation/</x:v>
      </x:c>
      <x:c r="H34" s="44" t="n">
        <x:v>2</x:v>
      </x:c>
      <x:c r="I34" s="44" t="str">
        <x:v>未开始</x:v>
      </x:c>
      <x:c r="J34" s="44" t="str"/>
    </x:row>
    <x:row r="35">
      <x:c r="A35" s="44" t="n">
        <x:v>5</x:v>
      </x:c>
      <x:c r="B35" s="44" t="n">
        <x:v>34</x:v>
      </x:c>
      <x:c r="C35" s="44" t="str">
        <x:v>RAG Agent</x:v>
      </x:c>
      <x:c r="D35" s="44" t="str">
        <x:v>实现检索、回答及来源引用</x:v>
      </x:c>
      <x:c r="E35" s="44" t="str">
        <x:v>rag-agent</x:v>
      </x:c>
      <x:c r="F35" s="44" t="str">
        <x:v>Qdrant Documentation</x:v>
      </x:c>
      <x:c r="G35" s="44" t="str">
        <x:v>https://qdrant.tech/documentation/</x:v>
      </x:c>
      <x:c r="H35" s="44" t="n">
        <x:v>5</x:v>
      </x:c>
      <x:c r="I35" s="44" t="str">
        <x:v>未开始</x:v>
      </x:c>
      <x:c r="J35" s="44" t="str"/>
    </x:row>
    <x:row r="36">
      <x:c r="A36" s="44" t="n">
        <x:v>5</x:v>
      </x:c>
      <x:c r="B36" s="44" t="n">
        <x:v>35</x:v>
      </x:c>
      <x:c r="C36" s="44" t="str">
        <x:v>Knowledge Agent V1</x:v>
      </x:c>
      <x:c r="D36" s="44" t="str">
        <x:v>完成测试集、README 与演示</x:v>
      </x:c>
      <x:c r="E36" s="44" t="str">
        <x:v>knowledge-agent-v1</x:v>
      </x:c>
      <x:c r="F36" s="44" t="str">
        <x:v>Qdrant Documentation</x:v>
      </x:c>
      <x:c r="G36" s="44" t="str">
        <x:v>https://qdrant.tech/documentation/</x:v>
      </x:c>
      <x:c r="H36" s="44" t="n">
        <x:v>4</x:v>
      </x:c>
      <x:c r="I36" s="44" t="str">
        <x:v>未开始</x:v>
      </x:c>
      <x:c r="J36" s="44" t="str"/>
    </x:row>
    <x:row r="37">
      <x:c r="A37" s="44" t="n">
        <x:v>6</x:v>
      </x:c>
      <x:c r="B37" s="44" t="n">
        <x:v>36</x:v>
      </x:c>
      <x:c r="C37" s="44" t="str">
        <x:v>State, Node, Edge</x:v>
      </x:c>
      <x:c r="D37" s="44" t="str">
        <x:v>掌握核心抽象并完成最小示例</x:v>
      </x:c>
      <x:c r="E37" s="44" t="str">
        <x:v>langgraph-notes.md</x:v>
      </x:c>
      <x:c r="F37" s="44" t="str">
        <x:v>LangGraph Documentation</x:v>
      </x:c>
      <x:c r="G37" s="44" t="str">
        <x:v>https://docs.langchain.com/oss/python/langgraph/overview</x:v>
      </x:c>
      <x:c r="H37" s="44" t="n">
        <x:v>2</x:v>
      </x:c>
      <x:c r="I37" s="44" t="str">
        <x:v>未开始</x:v>
      </x:c>
      <x:c r="J37" s="44" t="str"/>
    </x:row>
    <x:row r="38">
      <x:c r="A38" s="44" t="n">
        <x:v>6</x:v>
      </x:c>
      <x:c r="B38" s="44" t="n">
        <x:v>37</x:v>
      </x:c>
      <x:c r="C38" s="44" t="str">
        <x:v>First Graph</x:v>
      </x:c>
      <x:c r="D38" s="44" t="str">
        <x:v>构建第一个状态图</x:v>
      </x:c>
      <x:c r="E38" s="44" t="str">
        <x:v>first-graph.py</x:v>
      </x:c>
      <x:c r="F38" s="44" t="str">
        <x:v>LangGraph Documentation</x:v>
      </x:c>
      <x:c r="G38" s="44" t="str">
        <x:v>https://docs.langchain.com/oss/python/langgraph/overview</x:v>
      </x:c>
      <x:c r="H38" s="44" t="n">
        <x:v>2</x:v>
      </x:c>
      <x:c r="I38" s="44" t="str">
        <x:v>未开始</x:v>
      </x:c>
      <x:c r="J38" s="44" t="str"/>
    </x:row>
    <x:row r="39">
      <x:c r="A39" s="44" t="n">
        <x:v>6</x:v>
      </x:c>
      <x:c r="B39" s="44" t="n">
        <x:v>38</x:v>
      </x:c>
      <x:c r="C39" s="44" t="str">
        <x:v>Conditional Routing</x:v>
      </x:c>
      <x:c r="D39" s="44" t="str">
        <x:v>基于状态实现条件分支与回退</x:v>
      </x:c>
      <x:c r="E39" s="44" t="str">
        <x:v>conditional-routing.py</x:v>
      </x:c>
      <x:c r="F39" s="44" t="str">
        <x:v>LangGraph Documentation</x:v>
      </x:c>
      <x:c r="G39" s="44" t="str">
        <x:v>https://docs.langchain.com/oss/python/langgraph/overview</x:v>
      </x:c>
      <x:c r="H39" s="44" t="n">
        <x:v>2</x:v>
      </x:c>
      <x:c r="I39" s="44" t="str">
        <x:v>未开始</x:v>
      </x:c>
      <x:c r="J39" s="44" t="str"/>
    </x:row>
    <x:row r="40">
      <x:c r="A40" s="44" t="n">
        <x:v>6</x:v>
      </x:c>
      <x:c r="B40" s="44" t="n">
        <x:v>39</x:v>
      </x:c>
      <x:c r="C40" s="44" t="str">
        <x:v>State Management</x:v>
      </x:c>
      <x:c r="D40" s="44" t="str">
        <x:v>设计 Typed State 与状态更新规则</x:v>
      </x:c>
      <x:c r="E40" s="44" t="str">
        <x:v>state-management.py</x:v>
      </x:c>
      <x:c r="F40" s="44" t="str">
        <x:v>LangGraph Documentation</x:v>
      </x:c>
      <x:c r="G40" s="44" t="str">
        <x:v>https://docs.langchain.com/oss/python/langgraph/overview</x:v>
      </x:c>
      <x:c r="H40" s="44" t="n">
        <x:v>2</x:v>
      </x:c>
      <x:c r="I40" s="44" t="str">
        <x:v>未开始</x:v>
      </x:c>
      <x:c r="J40" s="44" t="str"/>
    </x:row>
    <x:row r="41">
      <x:c r="A41" s="44" t="n">
        <x:v>6</x:v>
      </x:c>
      <x:c r="B41" s="44" t="n">
        <x:v>40</x:v>
      </x:c>
      <x:c r="C41" s="44" t="str">
        <x:v>Checkpoint</x:v>
      </x:c>
      <x:c r="D41" s="44" t="str">
        <x:v>实现持久化与中断恢复</x:v>
      </x:c>
      <x:c r="E41" s="44" t="str">
        <x:v>checkpoint-demo.py</x:v>
      </x:c>
      <x:c r="F41" s="44" t="str">
        <x:v>LangGraph Documentation</x:v>
      </x:c>
      <x:c r="G41" s="44" t="str">
        <x:v>https://docs.langchain.com/oss/python/langgraph/overview</x:v>
      </x:c>
      <x:c r="H41" s="44" t="n">
        <x:v>2</x:v>
      </x:c>
      <x:c r="I41" s="44" t="str">
        <x:v>未开始</x:v>
      </x:c>
      <x:c r="J41" s="44" t="str"/>
    </x:row>
    <x:row r="42">
      <x:c r="A42" s="44" t="n">
        <x:v>6</x:v>
      </x:c>
      <x:c r="B42" s="44" t="n">
        <x:v>41</x:v>
      </x:c>
      <x:c r="C42" s="44" t="str">
        <x:v>Human-in-the-Loop</x:v>
      </x:c>
      <x:c r="D42" s="44" t="str">
        <x:v>实现人工审批、修改与继续执行</x:v>
      </x:c>
      <x:c r="E42" s="44" t="str">
        <x:v>hitl-demo.py</x:v>
      </x:c>
      <x:c r="F42" s="44" t="str">
        <x:v>LangGraph Documentation</x:v>
      </x:c>
      <x:c r="G42" s="44" t="str">
        <x:v>https://docs.langchain.com/oss/python/langgraph/overview</x:v>
      </x:c>
      <x:c r="H42" s="44" t="n">
        <x:v>5</x:v>
      </x:c>
      <x:c r="I42" s="44" t="str">
        <x:v>未开始</x:v>
      </x:c>
      <x:c r="J42" s="44" t="str"/>
    </x:row>
    <x:row r="43">
      <x:c r="A43" s="44" t="n">
        <x:v>6</x:v>
      </x:c>
      <x:c r="B43" s="44" t="n">
        <x:v>42</x:v>
      </x:c>
      <x:c r="C43" s="44" t="str">
        <x:v>Document Review Agent</x:v>
      </x:c>
      <x:c r="D43" s="44" t="str">
        <x:v>构建文档审查工作流并完成验收</x:v>
      </x:c>
      <x:c r="E43" s="44" t="str">
        <x:v>document-review-agent</x:v>
      </x:c>
      <x:c r="F43" s="44" t="str">
        <x:v>LangGraph Documentation</x:v>
      </x:c>
      <x:c r="G43" s="44" t="str">
        <x:v>https://docs.langchain.com/oss/python/langgraph/overview</x:v>
      </x:c>
      <x:c r="H43" s="44" t="n">
        <x:v>4</x:v>
      </x:c>
      <x:c r="I43" s="44" t="str">
        <x:v>未开始</x:v>
      </x:c>
      <x:c r="J43" s="44" t="str"/>
    </x:row>
    <x:row r="44">
      <x:c r="A44" s="44" t="n">
        <x:v>7</x:v>
      </x:c>
      <x:c r="B44" s="44" t="n">
        <x:v>43</x:v>
      </x:c>
      <x:c r="C44" s="44" t="str">
        <x:v>React Refresh</x:v>
      </x:c>
      <x:c r="D44" s="44" t="str">
        <x:v>复习 Components、Props、Hooks、State</x:v>
      </x:c>
      <x:c r="E44" s="44" t="str">
        <x:v>react-practice</x:v>
      </x:c>
      <x:c r="F44" s="44" t="str">
        <x:v>React Learn</x:v>
      </x:c>
      <x:c r="G44" s="44" t="str">
        <x:v>https://react.dev/learn</x:v>
      </x:c>
      <x:c r="H44" s="44" t="n">
        <x:v>2</x:v>
      </x:c>
      <x:c r="I44" s="44" t="str">
        <x:v>未开始</x:v>
      </x:c>
      <x:c r="J44" s="44" t="str"/>
    </x:row>
    <x:row r="45">
      <x:c r="A45" s="44" t="n">
        <x:v>7</x:v>
      </x:c>
      <x:c r="B45" s="44" t="n">
        <x:v>44</x:v>
      </x:c>
      <x:c r="C45" s="44" t="str">
        <x:v>Context &amp; Custom Hooks</x:v>
      </x:c>
      <x:c r="D45" s="44" t="str">
        <x:v>实现会话状态与可复用 Hook</x:v>
      </x:c>
      <x:c r="E45" s="44" t="str">
        <x:v>agent-hooks.ts</x:v>
      </x:c>
      <x:c r="F45" s="44" t="str">
        <x:v>React Learn</x:v>
      </x:c>
      <x:c r="G45" s="44" t="str">
        <x:v>https://react.dev/learn</x:v>
      </x:c>
      <x:c r="H45" s="44" t="n">
        <x:v>2</x:v>
      </x:c>
      <x:c r="I45" s="44" t="str">
        <x:v>未开始</x:v>
      </x:c>
      <x:c r="J45" s="44" t="str"/>
    </x:row>
    <x:row r="46">
      <x:c r="A46" s="44" t="n">
        <x:v>7</x:v>
      </x:c>
      <x:c r="B46" s="44" t="n">
        <x:v>45</x:v>
      </x:c>
      <x:c r="C46" s="44" t="str">
        <x:v>Next.js App Router</x:v>
      </x:c>
      <x:c r="D46" s="44" t="str">
        <x:v>掌握 Routing、Server/Client Components</x:v>
      </x:c>
      <x:c r="E46" s="44" t="str">
        <x:v>nextjs-shell</x:v>
      </x:c>
      <x:c r="F46" s="44" t="str">
        <x:v>Next.js Learn</x:v>
      </x:c>
      <x:c r="G46" s="44" t="str">
        <x:v>https://nextjs.org/learn</x:v>
      </x:c>
      <x:c r="H46" s="44" t="n">
        <x:v>2</x:v>
      </x:c>
      <x:c r="I46" s="44" t="str">
        <x:v>未开始</x:v>
      </x:c>
      <x:c r="J46" s="44" t="str"/>
    </x:row>
    <x:row r="47">
      <x:c r="A47" s="44" t="n">
        <x:v>7</x:v>
      </x:c>
      <x:c r="B47" s="44" t="n">
        <x:v>46</x:v>
      </x:c>
      <x:c r="C47" s="44" t="str">
        <x:v>SSE Streaming</x:v>
      </x:c>
      <x:c r="D47" s="44" t="str">
        <x:v>实现 FastAPI 到 React 的流式传输</x:v>
      </x:c>
      <x:c r="E47" s="44" t="str">
        <x:v>sse-demo</x:v>
      </x:c>
      <x:c r="F47" s="44" t="str">
        <x:v>Vercel AI SDK</x:v>
      </x:c>
      <x:c r="G47" s="44" t="str">
        <x:v>https://sdk.vercel.ai/docs</x:v>
      </x:c>
      <x:c r="H47" s="44" t="n">
        <x:v>2</x:v>
      </x:c>
      <x:c r="I47" s="44" t="str">
        <x:v>未开始</x:v>
      </x:c>
      <x:c r="J47" s="44" t="str"/>
    </x:row>
    <x:row r="48">
      <x:c r="A48" s="44" t="n">
        <x:v>7</x:v>
      </x:c>
      <x:c r="B48" s="44" t="n">
        <x:v>47</x:v>
      </x:c>
      <x:c r="C48" s="44" t="str">
        <x:v>Chat UI</x:v>
      </x:c>
      <x:c r="D48" s="44" t="str">
        <x:v>实现消息列表、输入框、Markdown 与引用</x:v>
      </x:c>
      <x:c r="E48" s="44" t="str">
        <x:v>chat-ui</x:v>
      </x:c>
      <x:c r="F48" s="44" t="str">
        <x:v>Vercel AI SDK</x:v>
      </x:c>
      <x:c r="G48" s="44" t="str">
        <x:v>https://sdk.vercel.ai/docs</x:v>
      </x:c>
      <x:c r="H48" s="44" t="n">
        <x:v>2</x:v>
      </x:c>
      <x:c r="I48" s="44" t="str">
        <x:v>未开始</x:v>
      </x:c>
      <x:c r="J48" s="44" t="str"/>
    </x:row>
    <x:row r="49">
      <x:c r="A49" s="44" t="n">
        <x:v>7</x:v>
      </x:c>
      <x:c r="B49" s="44" t="n">
        <x:v>48</x:v>
      </x:c>
      <x:c r="C49" s="44" t="str">
        <x:v>Tool Status Panel</x:v>
      </x:c>
      <x:c r="D49" s="44" t="str">
        <x:v>展示工具调用、状态、耗时与错误</x:v>
      </x:c>
      <x:c r="E49" s="44" t="str">
        <x:v>tool-status-panel</x:v>
      </x:c>
      <x:c r="F49" s="44" t="str">
        <x:v>Vercel AI SDK</x:v>
      </x:c>
      <x:c r="G49" s="44" t="str">
        <x:v>https://sdk.vercel.ai/docs</x:v>
      </x:c>
      <x:c r="H49" s="44" t="n">
        <x:v>5</x:v>
      </x:c>
      <x:c r="I49" s="44" t="str">
        <x:v>未开始</x:v>
      </x:c>
      <x:c r="J49" s="44" t="str"/>
    </x:row>
    <x:row r="50">
      <x:c r="A50" s="44" t="n">
        <x:v>7</x:v>
      </x:c>
      <x:c r="B50" s="44" t="n">
        <x:v>49</x:v>
      </x:c>
      <x:c r="C50" s="44" t="str">
        <x:v>Agent Frontend V1</x:v>
      </x:c>
      <x:c r="D50" s="44" t="str">
        <x:v>完成联调、错误态、空态与响应式布局</x:v>
      </x:c>
      <x:c r="E50" s="44" t="str">
        <x:v>agent-frontend-v1</x:v>
      </x:c>
      <x:c r="F50" s="44" t="str">
        <x:v>Next.js Learn</x:v>
      </x:c>
      <x:c r="G50" s="44" t="str">
        <x:v>https://nextjs.org/learn</x:v>
      </x:c>
      <x:c r="H50" s="44" t="n">
        <x:v>4</x:v>
      </x:c>
      <x:c r="I50" s="44" t="str">
        <x:v>未开始</x:v>
      </x:c>
      <x:c r="J50" s="44" t="str"/>
    </x:row>
    <x:row r="51">
      <x:c r="A51" s="44" t="n">
        <x:v>8</x:v>
      </x:c>
      <x:c r="B51" s="44" t="n">
        <x:v>50</x:v>
      </x:c>
      <x:c r="C51" s="44" t="str">
        <x:v>项目初始化</x:v>
      </x:c>
      <x:c r="D51" s="44" t="str">
        <x:v>初始化 FastAPI、Next.js、PostgreSQL、Qdrant 与 Docker Compose</x:v>
      </x:c>
      <x:c r="E51" s="44" t="str">
        <x:v>security-agent-repo</x:v>
      </x:c>
      <x:c r="F51" s="44" t="str">
        <x:v>OpenAI Agents SDK Docs</x:v>
      </x:c>
      <x:c r="G51" s="44" t="str">
        <x:v>https://openai.github.io/openai-agents-python/</x:v>
      </x:c>
      <x:c r="H51" s="44" t="n">
        <x:v>2</x:v>
      </x:c>
      <x:c r="I51" s="44" t="str">
        <x:v>未开始</x:v>
      </x:c>
      <x:c r="J51" s="44" t="str"/>
    </x:row>
    <x:row r="52">
      <x:c r="A52" s="44" t="n">
        <x:v>8</x:v>
      </x:c>
      <x:c r="B52" s="44" t="n">
        <x:v>51</x:v>
      </x:c>
      <x:c r="C52" s="44" t="str">
        <x:v>数据准备</x:v>
      </x:c>
      <x:c r="D52" s="44" t="str">
        <x:v>接入 CVE 与 ATT&amp;CK 数据；设计字段和更新策略</x:v>
      </x:c>
      <x:c r="E52" s="44" t="str">
        <x:v>security-data-pipeline</x:v>
      </x:c>
      <x:c r="F52" s="44" t="str">
        <x:v>MITRE ATT&amp;CK</x:v>
      </x:c>
      <x:c r="G52" s="44" t="str">
        <x:v>https://attack.mitre.org/</x:v>
      </x:c>
      <x:c r="H52" s="44" t="n">
        <x:v>2</x:v>
      </x:c>
      <x:c r="I52" s="44" t="str">
        <x:v>未开始</x:v>
      </x:c>
      <x:c r="J52" s="44" t="str"/>
    </x:row>
    <x:row r="53">
      <x:c r="A53" s="44" t="n">
        <x:v>8</x:v>
      </x:c>
      <x:c r="B53" s="44" t="n">
        <x:v>52</x:v>
      </x:c>
      <x:c r="C53" s="44" t="str">
        <x:v>CVE Analyzer Agent</x:v>
      </x:c>
      <x:c r="D53" s="44" t="str">
        <x:v>实现 CVE 摘要、影响分析与证据引用</x:v>
      </x:c>
      <x:c r="E53" s="44" t="str">
        <x:v>cve-analyzer-agent</x:v>
      </x:c>
      <x:c r="F53" s="44" t="str">
        <x:v>NVD</x:v>
      </x:c>
      <x:c r="G53" s="44" t="str">
        <x:v>https://nvd.nist.gov/</x:v>
      </x:c>
      <x:c r="H53" s="44" t="n">
        <x:v>2</x:v>
      </x:c>
      <x:c r="I53" s="44" t="str">
        <x:v>未开始</x:v>
      </x:c>
      <x:c r="J53" s="44" t="str"/>
    </x:row>
    <x:row r="54">
      <x:c r="A54" s="44" t="n">
        <x:v>8</x:v>
      </x:c>
      <x:c r="B54" s="44" t="n">
        <x:v>53</x:v>
      </x:c>
      <x:c r="C54" s="44" t="str">
        <x:v>ATT&amp;CK Mapper Agent</x:v>
      </x:c>
      <x:c r="D54" s="44" t="str">
        <x:v>将安全描述映射到 ATT&amp;CK 技术并保留依据</x:v>
      </x:c>
      <x:c r="E54" s="44" t="str">
        <x:v>attack-mapper-agent</x:v>
      </x:c>
      <x:c r="F54" s="44" t="str">
        <x:v>MITRE ATT&amp;CK</x:v>
      </x:c>
      <x:c r="G54" s="44" t="str">
        <x:v>https://attack.mitre.org/</x:v>
      </x:c>
      <x:c r="H54" s="44" t="n">
        <x:v>2</x:v>
      </x:c>
      <x:c r="I54" s="44" t="str">
        <x:v>未开始</x:v>
      </x:c>
      <x:c r="J54" s="44" t="str"/>
    </x:row>
    <x:row r="55">
      <x:c r="A55" s="44" t="n">
        <x:v>8</x:v>
      </x:c>
      <x:c r="B55" s="44" t="n">
        <x:v>54</x:v>
      </x:c>
      <x:c r="C55" s="44" t="str">
        <x:v>IOC Extractor Agent</x:v>
      </x:c>
      <x:c r="D55" s="44" t="str">
        <x:v>提取 IP、Domain、URL、Hash 并结构化输出</x:v>
      </x:c>
      <x:c r="E55" s="44" t="str">
        <x:v>ioc-extractor-agent</x:v>
      </x:c>
      <x:c r="F55" s="44" t="str">
        <x:v>OpenAI Agents SDK Docs</x:v>
      </x:c>
      <x:c r="G55" s="44" t="str">
        <x:v>https://openai.github.io/openai-agents-python/</x:v>
      </x:c>
      <x:c r="H55" s="44" t="n">
        <x:v>2</x:v>
      </x:c>
      <x:c r="I55" s="44" t="str">
        <x:v>未开始</x:v>
      </x:c>
      <x:c r="J55" s="44" t="str"/>
    </x:row>
    <x:row r="56">
      <x:c r="A56" s="44" t="n">
        <x:v>8</x:v>
      </x:c>
      <x:c r="B56" s="44" t="n">
        <x:v>55</x:v>
      </x:c>
      <x:c r="C56" s="44" t="str">
        <x:v>Report Writer Agent</x:v>
      </x:c>
      <x:c r="D56" s="44" t="str">
        <x:v>生成结构化安全分析报告并整合引用</x:v>
      </x:c>
      <x:c r="E56" s="44" t="str">
        <x:v>report-writer-agent</x:v>
      </x:c>
      <x:c r="F56" s="44" t="str">
        <x:v>OpenAI Agents SDK Docs</x:v>
      </x:c>
      <x:c r="G56" s="44" t="str">
        <x:v>https://openai.github.io/openai-agents-python/</x:v>
      </x:c>
      <x:c r="H56" s="44" t="n">
        <x:v>5</x:v>
      </x:c>
      <x:c r="I56" s="44" t="str">
        <x:v>未开始</x:v>
      </x:c>
      <x:c r="J56" s="44" t="str"/>
    </x:row>
    <x:row r="57">
      <x:c r="A57" s="44" t="n">
        <x:v>8</x:v>
      </x:c>
      <x:c r="B57" s="44" t="n">
        <x:v>56</x:v>
      </x:c>
      <x:c r="C57" s="44" t="str">
        <x:v>最终验收</x:v>
      </x:c>
      <x:c r="D57" s="44" t="str">
        <x:v>串联 Multi-Agent Workflow；前后端联调；Docker 部署；README；Demo</x:v>
      </x:c>
      <x:c r="E57" s="44" t="str">
        <x:v>Security Analyst Agent v1</x:v>
      </x:c>
      <x:c r="F57" s="44" t="str">
        <x:v>LangGraph Documentation</x:v>
      </x:c>
      <x:c r="G57" s="44" t="str">
        <x:v>https://docs.langchain.com/oss/python/langgraph/overview</x:v>
      </x:c>
      <x:c r="H57" s="44" t="n">
        <x:v>5</x:v>
      </x:c>
      <x:c r="I57" s="44" t="str">
        <x:v>未开始</x:v>
      </x:c>
      <x:c r="J57" s="44" t="str"/>
    </x:row>
  </x:sheetData>
  <x:conditionalFormatting sqref="I2:I57">
    <x:cfRule type="expression" dxfId="1" priority="1">
      <x:formula>I2="已完成"</x:formula>
    </x:cfRule>
    <x:cfRule type="expression" dxfId="2" priority="2">
      <x:formula>I2="进行中"</x:formula>
    </x:cfRule>
    <x:cfRule type="expression" dxfId="3" priority="3">
      <x:formula>I2="已跳过"</x:formula>
    </x:cfRule>
  </x:conditionalFormatting>
  <x:dataValidations count="1">
    <x:dataValidation type="list" sqref="I2:I57">
      <x:formula1>"未开始,进行中,已完成,已跳过"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c93b382a1c4b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0" hidden="0" customWidth="1"/>
    <x:col min="4" max="4" width="48" hidden="0" customWidth="1"/>
    <x:col min="5" max="5" width="12" hidden="0" customWidth="1"/>
    <x:col min="6" max="6" width="36" hidden="0" customWidth="1"/>
  </x:cols>
  <x:sheetData>
    <x:row r="1" ht="28" customHeight="1">
      <x:c r="A1" s="39" t="str">
        <x:v>Week</x:v>
      </x:c>
      <x:c r="B1" s="39" t="str">
        <x:v>Weekly Goal</x:v>
      </x:c>
      <x:c r="C1" s="39" t="str">
        <x:v>Weekly Deliverable</x:v>
      </x:c>
      <x:c r="D1" s="39" t="str">
        <x:v>Review Checklist</x:v>
      </x:c>
      <x:c r="E1" s="39" t="str">
        <x:v>Status</x:v>
      </x:c>
      <x:c r="F1" s="39" t="str">
        <x:v>Review Notes</x:v>
      </x:c>
    </x:row>
    <x:row r="2">
      <x:c r="A2" s="44" t="str">
        <x:v>Week 1 - Agent Foundations</x:v>
      </x:c>
      <x:c r="B2" s="44" t="str">
        <x:v>理解 Agent、Workflow、Context、Tool Design；完成第一个 Tool Agent</x:v>
      </x:c>
      <x:c r="C2" s="44" t="str">
        <x:v>Tool Agent + Architecture Notes</x:v>
      </x:c>
      <x:c r="D2" s="44" t="str">
        <x:v>□ Code runs  □ README updated  □ Key concepts summarized  □ Demo completed</x:v>
      </x:c>
      <x:c r="E2" s="44" t="str">
        <x:v>未开始</x:v>
      </x:c>
      <x:c r="F2" s="44" t="str"/>
    </x:row>
    <x:row r="3">
      <x:c r="A3" s="44" t="str">
        <x:v>Week 2 - Claude API + Agent Development</x:v>
      </x:c>
      <x:c r="B3" s="44" t="str">
        <x:v>掌握 Claude API、Streaming、Structured Output 与 Tool Use</x:v>
      </x:c>
      <x:c r="C3" s="44" t="str">
        <x:v>Research Agent v1</x:v>
      </x:c>
      <x:c r="D3" s="44" t="str">
        <x:v>□ Code runs  □ README updated  □ Key concepts summarized  □ Demo completed</x:v>
      </x:c>
      <x:c r="E3" s="44" t="str">
        <x:v>未开始</x:v>
      </x:c>
      <x:c r="F3" s="44" t="str"/>
    </x:row>
    <x:row r="4">
      <x:c r="A4" s="44" t="str">
        <x:v>Week 3 - MCP</x:v>
      </x:c>
      <x:c r="B4" s="44" t="str">
        <x:v>理解 MCP Host/Client/Server，并开发 GitHub MCP Server</x:v>
      </x:c>
      <x:c r="C4" s="44" t="str">
        <x:v>GitHub MCP Server + Architecture</x:v>
      </x:c>
      <x:c r="D4" s="44" t="str">
        <x:v>□ Code runs  □ README updated  □ Key concepts summarized  □ Demo completed</x:v>
      </x:c>
      <x:c r="E4" s="44" t="str">
        <x:v>未开始</x:v>
      </x:c>
      <x:c r="F4" s="44" t="str"/>
    </x:row>
    <x:row r="5">
      <x:c r="A5" s="44" t="str">
        <x:v>Week 4 - OpenAI Agents SDK</x:v>
      </x:c>
      <x:c r="B5" s="44" t="str">
        <x:v>掌握 Agent、Guardrail、Session、Tracing、Handoff</x:v>
      </x:c>
      <x:c r="C5" s="44" t="str">
        <x:v>Mini Deep Research</x:v>
      </x:c>
      <x:c r="D5" s="44" t="str">
        <x:v>□ Code runs  □ README updated  □ Key concepts summarized  □ Demo completed</x:v>
      </x:c>
      <x:c r="E5" s="44" t="str">
        <x:v>未开始</x:v>
      </x:c>
      <x:c r="F5" s="44" t="str"/>
    </x:row>
    <x:row r="6">
      <x:c r="A6" s="44" t="str">
        <x:v>Week 5 - RAG + Knowledge Base</x:v>
      </x:c>
      <x:c r="B6" s="44" t="str">
        <x:v>构建基于 Qdrant 的企业知识库 Agent</x:v>
      </x:c>
      <x:c r="C6" s="44" t="str">
        <x:v>Knowledge Agent v1</x:v>
      </x:c>
      <x:c r="D6" s="44" t="str">
        <x:v>□ Code runs  □ README updated  □ Key concepts summarized  □ Demo completed</x:v>
      </x:c>
      <x:c r="E6" s="44" t="str">
        <x:v>未开始</x:v>
      </x:c>
      <x:c r="F6" s="44" t="str"/>
    </x:row>
    <x:row r="7">
      <x:c r="A7" s="44" t="str">
        <x:v>Week 6 - LangGraph</x:v>
      </x:c>
      <x:c r="B7" s="44" t="str">
        <x:v>掌握状态图、条件路由、Checkpoint 与 HITL</x:v>
      </x:c>
      <x:c r="C7" s="44" t="str">
        <x:v>Document Review Agent</x:v>
      </x:c>
      <x:c r="D7" s="44" t="str">
        <x:v>□ Code runs  □ README updated  □ Key concepts summarized  □ Demo completed</x:v>
      </x:c>
      <x:c r="E7" s="44" t="str">
        <x:v>未开始</x:v>
      </x:c>
      <x:c r="F7" s="44" t="str"/>
    </x:row>
    <x:row r="8">
      <x:c r="A8" s="44" t="str">
        <x:v>Week 7 - React Agent UI</x:v>
      </x:c>
      <x:c r="B8" s="44" t="str">
        <x:v>使用 React/Next.js 构建流式 Agent UI</x:v>
      </x:c>
      <x:c r="C8" s="44" t="str">
        <x:v>Agent Frontend v1</x:v>
      </x:c>
      <x:c r="D8" s="44" t="str">
        <x:v>□ Code runs  □ README updated  □ Key concepts summarized  □ Demo completed</x:v>
      </x:c>
      <x:c r="E8" s="44" t="str">
        <x:v>未开始</x:v>
      </x:c>
      <x:c r="F8" s="44" t="str"/>
    </x:row>
    <x:row r="9">
      <x:c r="A9" s="44" t="str">
        <x:v>Week 8 - Security Analyst Agent</x:v>
      </x:c>
      <x:c r="B9" s="44" t="str">
        <x:v>整合 CVE、ATT&amp;CK、IOC、报告生成与多 Agent</x:v>
      </x:c>
      <x:c r="C9" s="44" t="str">
        <x:v>Security Analyst Agent v1</x:v>
      </x:c>
      <x:c r="D9" s="44" t="str">
        <x:v>□ Code runs  □ README updated  □ Key concepts summarized  □ Demo completed</x:v>
      </x:c>
      <x:c r="E9" s="44" t="str">
        <x:v>未开始</x:v>
      </x:c>
      <x:c r="F9" s="44" t="str"/>
    </x:row>
  </x:sheetData>
  <x:dataValidations count="1">
    <x:dataValidation type="list" sqref="E2:E9">
      <x:formula1>"未开始,进行中,已完成,已跳过"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6ce0cf017043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58" hidden="0" customWidth="1"/>
    <x:col min="5" max="5" width="24" hidden="0" customWidth="1"/>
  </x:cols>
  <x:sheetData>
    <x:row r="1" ht="28" customHeight="1">
      <x:c r="A1" s="39" t="str">
        <x:v>Category</x:v>
      </x:c>
      <x:c r="B1" s="39" t="str">
        <x:v>Resource</x:v>
      </x:c>
      <x:c r="C1" s="39" t="str">
        <x:v>Use in Plan</x:v>
      </x:c>
      <x:c r="D1" s="39" t="str">
        <x:v>URL</x:v>
      </x:c>
      <x:c r="E1" s="39" t="str">
        <x:v>Verification Note</x:v>
      </x:c>
    </x:row>
    <x:row r="2">
      <x:c r="A2" s="44" t="str">
        <x:v>Agent Foundation</x:v>
      </x:c>
      <x:c r="B2" s="44" t="str">
        <x:v>Anthropic Building Effective Agents</x:v>
      </x:c>
      <x:c r="C2" s="44" t="str">
        <x:v>Week 1 Day 1</x:v>
      </x:c>
      <x:c r="D2" s="44" t="str">
        <x:v>https://www.anthropic.com/research/building-effective-agents</x:v>
      </x:c>
      <x:c r="E2" s="44" t="str">
        <x:v>Official resource</x:v>
      </x:c>
    </x:row>
    <x:row r="3">
      <x:c r="A3" s="44" t="str">
        <x:v>Agent Engineering</x:v>
      </x:c>
      <x:c r="B3" s="44" t="str">
        <x:v>Anthropic Engineering</x:v>
      </x:c>
      <x:c r="C3" s="44" t="str">
        <x:v>Week 1 Days 2-3</x:v>
      </x:c>
      <x:c r="D3" s="44" t="str">
        <x:v>https://www.anthropic.com/engineering</x:v>
      </x:c>
      <x:c r="E3" s="44" t="str">
        <x:v>Official engineering hub</x:v>
      </x:c>
    </x:row>
    <x:row r="4">
      <x:c r="A4" s="44" t="str">
        <x:v>Agent SDK</x:v>
      </x:c>
      <x:c r="B4" s="44" t="str">
        <x:v>OpenAI Agents SDK Docs</x:v>
      </x:c>
      <x:c r="C4" s="44" t="str">
        <x:v>Weeks 1, 4, 8</x:v>
      </x:c>
      <x:c r="D4" s="44" t="str">
        <x:v>https://openai.github.io/openai-agents-python/</x:v>
      </x:c>
      <x:c r="E4" s="44" t="str">
        <x:v>Official documentation</x:v>
      </x:c>
    </x:row>
    <x:row r="5">
      <x:c r="A5" s="44" t="str">
        <x:v>Agent SDK</x:v>
      </x:c>
      <x:c r="B5" s="44" t="str">
        <x:v>OpenAI Agents SDK GitHub</x:v>
      </x:c>
      <x:c r="C5" s="44" t="str">
        <x:v>Week 4</x:v>
      </x:c>
      <x:c r="D5" s="44" t="str">
        <x:v>https://github.com/openai/openai-agents-python</x:v>
      </x:c>
      <x:c r="E5" s="44" t="str">
        <x:v>Official repository</x:v>
      </x:c>
    </x:row>
    <x:row r="6">
      <x:c r="A6" s="44" t="str">
        <x:v>Claude API</x:v>
      </x:c>
      <x:c r="B6" s="44" t="str">
        <x:v>Claude Academy</x:v>
      </x:c>
      <x:c r="C6" s="44" t="str">
        <x:v>Week 2</x:v>
      </x:c>
      <x:c r="D6" s="44" t="str">
        <x:v>https://academy.claude.com/collections/build-with-claude</x:v>
      </x:c>
      <x:c r="E6" s="44" t="str">
        <x:v>Official learning platform</x:v>
      </x:c>
    </x:row>
    <x:row r="7">
      <x:c r="A7" s="44" t="str">
        <x:v>MCP</x:v>
      </x:c>
      <x:c r="B7" s="44" t="str">
        <x:v>Hugging Face MCP Course</x:v>
      </x:c>
      <x:c r="C7" s="44" t="str">
        <x:v>Week 3</x:v>
      </x:c>
      <x:c r="D7" s="44" t="str">
        <x:v>https://huggingface.co/learn/mcp-course/unit0/introduction</x:v>
      </x:c>
      <x:c r="E7" s="44" t="str">
        <x:v>International course</x:v>
      </x:c>
    </x:row>
    <x:row r="8">
      <x:c r="A8" s="44" t="str">
        <x:v>Vector Database</x:v>
      </x:c>
      <x:c r="B8" s="44" t="str">
        <x:v>Qdrant Documentation</x:v>
      </x:c>
      <x:c r="C8" s="44" t="str">
        <x:v>Week 5</x:v>
      </x:c>
      <x:c r="D8" s="44" t="str">
        <x:v>https://qdrant.tech/documentation/</x:v>
      </x:c>
      <x:c r="E8" s="44" t="str">
        <x:v>Official documentation</x:v>
      </x:c>
    </x:row>
    <x:row r="9">
      <x:c r="A9" s="44" t="str">
        <x:v>Orchestration</x:v>
      </x:c>
      <x:c r="B9" s="44" t="str">
        <x:v>LangGraph Documentation</x:v>
      </x:c>
      <x:c r="C9" s="44" t="str">
        <x:v>Weeks 6 and 8</x:v>
      </x:c>
      <x:c r="D9" s="44" t="str">
        <x:v>https://docs.langchain.com/oss/python/langgraph/overview</x:v>
      </x:c>
      <x:c r="E9" s="44" t="str">
        <x:v>Official documentation</x:v>
      </x:c>
    </x:row>
    <x:row r="10">
      <x:c r="A10" s="44" t="str">
        <x:v>Frontend</x:v>
      </x:c>
      <x:c r="B10" s="44" t="str">
        <x:v>React Learn</x:v>
      </x:c>
      <x:c r="C10" s="44" t="str">
        <x:v>Week 7</x:v>
      </x:c>
      <x:c r="D10" s="44" t="str">
        <x:v>https://react.dev/learn</x:v>
      </x:c>
      <x:c r="E10" s="44" t="str">
        <x:v>Official documentation</x:v>
      </x:c>
    </x:row>
    <x:row r="11">
      <x:c r="A11" s="44" t="str">
        <x:v>Frontend</x:v>
      </x:c>
      <x:c r="B11" s="44" t="str">
        <x:v>Next.js Learn</x:v>
      </x:c>
      <x:c r="C11" s="44" t="str">
        <x:v>Week 7</x:v>
      </x:c>
      <x:c r="D11" s="44" t="str">
        <x:v>https://nextjs.org/learn</x:v>
      </x:c>
      <x:c r="E11" s="44" t="str">
        <x:v>Official course</x:v>
      </x:c>
    </x:row>
    <x:row r="12">
      <x:c r="A12" s="44" t="str">
        <x:v>Agent UI</x:v>
      </x:c>
      <x:c r="B12" s="44" t="str">
        <x:v>Vercel AI SDK</x:v>
      </x:c>
      <x:c r="C12" s="44" t="str">
        <x:v>Week 7</x:v>
      </x:c>
      <x:c r="D12" s="44" t="str">
        <x:v>https://sdk.vercel.ai/docs</x:v>
      </x:c>
      <x:c r="E12" s="44" t="str">
        <x:v>Official documentation</x:v>
      </x:c>
    </x:row>
    <x:row r="13">
      <x:c r="A13" s="44" t="str">
        <x:v>Security</x:v>
      </x:c>
      <x:c r="B13" s="44" t="str">
        <x:v>MITRE ATT&amp;CK</x:v>
      </x:c>
      <x:c r="C13" s="44" t="str">
        <x:v>Week 8</x:v>
      </x:c>
      <x:c r="D13" s="44" t="str">
        <x:v>https://attack.mitre.org/</x:v>
      </x:c>
      <x:c r="E13" s="44" t="str">
        <x:v>Official knowledge base</x:v>
      </x:c>
    </x:row>
    <x:row r="14">
      <x:c r="A14" s="44" t="str">
        <x:v>Security</x:v>
      </x:c>
      <x:c r="B14" s="44" t="str">
        <x:v>NVD</x:v>
      </x:c>
      <x:c r="C14" s="44" t="str">
        <x:v>Week 8</x:v>
      </x:c>
      <x:c r="D14" s="44" t="str">
        <x:v>https://nvd.nist.gov/</x:v>
      </x:c>
      <x:c r="E14" s="44" t="str">
        <x:v>Official NIST 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1d7deeb773bd48bb"/>
  </x:tableParts>
</x:worksheet>
</file>

<file path=docMetadata/LabelInfo.xml><?xml version="1.0" encoding="utf-8"?>
<clbl:labelList xmlns:clbl="http://schemas.microsoft.com/office/2020/mipLabelMetadata">
  <clbl:label id="{a9947711-9d24-42b3-b284-3a9433b88a76}" enabled="1" method="Privileged" siteId="{38ae3bcd-9579-4fd4-adda-b42e1495d55a}" contentBits="0" removed="0"/>
</clbl:labelList>
</file>

<file path=docProps/custom.xml><?xml version="1.0" encoding="utf-8"?>
<Properties xmlns="http://schemas.openxmlformats.org/officeDocument/2006/custom-properties" xmlns:vt="http://schemas.openxmlformats.org/officeDocument/2006/docPropsVTypes"/>
</file>